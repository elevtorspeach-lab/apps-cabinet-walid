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raqui45\Desktop\"/>
    </mc:Choice>
  </mc:AlternateContent>
  <bookViews>
    <workbookView xWindow="0" yWindow="0" windowWidth="24000" windowHeight="91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9" i="1" l="1"/>
  <c r="O19" i="1"/>
  <c r="M19" i="1"/>
  <c r="L19" i="1"/>
  <c r="Q19" i="1" s="1"/>
  <c r="K19" i="1"/>
  <c r="J19" i="1"/>
  <c r="Q18" i="1"/>
  <c r="Q17" i="1"/>
  <c r="Q16" i="1"/>
  <c r="Q15" i="1"/>
  <c r="Q14" i="1"/>
  <c r="Q13" i="1"/>
  <c r="Q12" i="1"/>
</calcChain>
</file>

<file path=xl/sharedStrings.xml><?xml version="1.0" encoding="utf-8"?>
<sst xmlns="http://schemas.openxmlformats.org/spreadsheetml/2006/main" count="94" uniqueCount="60">
  <si>
    <t xml:space="preserve">EQDOM </t>
  </si>
  <si>
    <t>ICE 001655642000019</t>
  </si>
  <si>
    <t xml:space="preserve">Casablanca le04/06/2026 </t>
  </si>
  <si>
    <t>Facture N° 125/2026</t>
  </si>
  <si>
    <t>TYPE</t>
  </si>
  <si>
    <t>REF CLIENT</t>
  </si>
  <si>
    <t>NOM</t>
  </si>
  <si>
    <t xml:space="preserve">STADE </t>
  </si>
  <si>
    <t xml:space="preserve">PROCEDURE </t>
  </si>
  <si>
    <t>Réf dossier</t>
  </si>
  <si>
    <t xml:space="preserve">DATE DEPOT </t>
  </si>
  <si>
    <t xml:space="preserve">DATE JUGEMENT </t>
  </si>
  <si>
    <t>JUGEMENT N°</t>
  </si>
  <si>
    <t>TAXE</t>
  </si>
  <si>
    <t>VIGNETTE</t>
  </si>
  <si>
    <t xml:space="preserve">MED </t>
  </si>
  <si>
    <t>HUISSIER AUDIENCE</t>
  </si>
  <si>
    <t>TRIBUNAL</t>
  </si>
  <si>
    <t>HONORAIRE</t>
  </si>
  <si>
    <t xml:space="preserve">TVA </t>
  </si>
  <si>
    <t xml:space="preserve">TOTAL </t>
  </si>
  <si>
    <t>LOA</t>
  </si>
  <si>
    <t>C50Q3338</t>
  </si>
  <si>
    <t>AM BLACK</t>
  </si>
  <si>
    <t>JUG</t>
  </si>
  <si>
    <t>Restitution</t>
  </si>
  <si>
    <t>1677/8104/2026</t>
  </si>
  <si>
    <t>04/03/2026</t>
  </si>
  <si>
    <t>15/04/2026</t>
  </si>
  <si>
    <t>TC CASA</t>
  </si>
  <si>
    <t>C30H6889</t>
  </si>
  <si>
    <t>DETROIT CLEAR</t>
  </si>
  <si>
    <t>134/8104/2026</t>
  </si>
  <si>
    <t>07/01/2026</t>
  </si>
  <si>
    <t>04/02/2026</t>
  </si>
  <si>
    <t>C40J4713</t>
  </si>
  <si>
    <t>TIJI GLOB TRAVAUX ET CONSTRUCTION</t>
  </si>
  <si>
    <t>1676/8104/2026</t>
  </si>
  <si>
    <t>C40U2238</t>
  </si>
  <si>
    <t>ENNAHDA MACOS</t>
  </si>
  <si>
    <t>2692/8104/2026</t>
  </si>
  <si>
    <t>08/04/2026</t>
  </si>
  <si>
    <t>14/05/2026</t>
  </si>
  <si>
    <t>C20Y8682</t>
  </si>
  <si>
    <t>MERCURE TRADING</t>
  </si>
  <si>
    <t>2691/8104/2026</t>
  </si>
  <si>
    <t>C10R7749</t>
  </si>
  <si>
    <t>PHARMACIE EL HANAA</t>
  </si>
  <si>
    <t>481/8104/2026</t>
  </si>
  <si>
    <t>23/01/2026</t>
  </si>
  <si>
    <t>26/02/2026</t>
  </si>
  <si>
    <t>C10S2147</t>
  </si>
  <si>
    <t>SOGINALUM</t>
  </si>
  <si>
    <t>1675/8104/2026</t>
  </si>
  <si>
    <t xml:space="preserve">FRAIS </t>
  </si>
  <si>
    <t xml:space="preserve">WALID ARAQI HOUSSAINI </t>
  </si>
  <si>
    <t>Adresse:Avenue El Hachemi el filali (Route Taddart),Résidence LUXORIA étage1 APT 3</t>
  </si>
  <si>
    <t>Site internet : www.walidaraqi.com</t>
  </si>
  <si>
    <t>Téléphone : 0522 80 50 36 / Email : contact@walidaraqi.com</t>
  </si>
  <si>
    <t>ICE :  002840270000037  /  IF : 50285555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</si>
</sst>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0"/>
      <name val="Arial"/>
      <family val="2"/>
    </font>
    <font>
      <b/>
      <u/>
      <sz val="12"/>
      <name val="Arial"/>
      <family val="2"/>
    </font>
    <font>
      <b/>
      <sz val="18"/>
      <name val="Arial"/>
      <family val="2"/>
    </font>
    <font>
      <b/>
      <sz val="14"/>
      <color rgb="FFFF0000"/>
      <name val="Arial"/>
      <family val="2"/>
    </font>
    <font>
      <b/>
      <sz val="9"/>
      <color theme="0"/>
      <name val="Calibri"/>
      <family val="2"/>
      <scheme val="minor"/>
    </font>
    <font>
      <sz val="9"/>
      <color rgb="FF1111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u/>
      <sz val="11"/>
      <color theme="10"/>
      <name val="Calibri"/>
      <family val="2"/>
    </font>
    <font>
      <u/>
      <sz val="10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/>
    <xf numFmtId="0" fontId="7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3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1" applyFont="1" applyAlignment="1" applyProtection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581026</xdr:colOff>
      <xdr:row>0</xdr:row>
      <xdr:rowOff>38100</xdr:rowOff>
    </xdr:from>
    <xdr:ext cx="7210424" cy="971550"/>
    <xdr:pic>
      <xdr:nvPicPr>
        <xdr:cNvPr id="2" name="Image 1">
          <a:extLst>
            <a:ext uri="{FF2B5EF4-FFF2-40B4-BE49-F238E27FC236}">
              <a16:creationId xmlns="" xmlns:a16="http://schemas.microsoft.com/office/drawing/2014/main" id="{00000000-0008-0000-7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6" y="38100"/>
          <a:ext cx="7210424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581026</xdr:colOff>
      <xdr:row>0</xdr:row>
      <xdr:rowOff>38100</xdr:rowOff>
    </xdr:from>
    <xdr:ext cx="7210424" cy="971550"/>
    <xdr:pic>
      <xdr:nvPicPr>
        <xdr:cNvPr id="3" name="Image 2">
          <a:extLst>
            <a:ext uri="{FF2B5EF4-FFF2-40B4-BE49-F238E27FC236}">
              <a16:creationId xmlns="" xmlns:a16="http://schemas.microsoft.com/office/drawing/2014/main" id="{00000000-0008-0000-7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6" y="38100"/>
          <a:ext cx="7210424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581026</xdr:colOff>
      <xdr:row>0</xdr:row>
      <xdr:rowOff>38100</xdr:rowOff>
    </xdr:from>
    <xdr:ext cx="7210424" cy="971550"/>
    <xdr:pic>
      <xdr:nvPicPr>
        <xdr:cNvPr id="4" name="Image 3">
          <a:extLst>
            <a:ext uri="{FF2B5EF4-FFF2-40B4-BE49-F238E27FC236}">
              <a16:creationId xmlns="" xmlns:a16="http://schemas.microsoft.com/office/drawing/2014/main" id="{00000000-0008-0000-7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6" y="38100"/>
          <a:ext cx="7210424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581026</xdr:colOff>
      <xdr:row>0</xdr:row>
      <xdr:rowOff>38100</xdr:rowOff>
    </xdr:from>
    <xdr:ext cx="7210424" cy="971550"/>
    <xdr:pic>
      <xdr:nvPicPr>
        <xdr:cNvPr id="5" name="Image 4">
          <a:extLst>
            <a:ext uri="{FF2B5EF4-FFF2-40B4-BE49-F238E27FC236}">
              <a16:creationId xmlns="" xmlns:a16="http://schemas.microsoft.com/office/drawing/2014/main" id="{00000000-0008-0000-7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6" y="38100"/>
          <a:ext cx="7210424" cy="9715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abSelected="1" workbookViewId="0">
      <selection activeCell="I6" sqref="I6"/>
    </sheetView>
  </sheetViews>
  <sheetFormatPr baseColWidth="10" defaultRowHeight="15" x14ac:dyDescent="0.25"/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6.25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2"/>
      <c r="L5" s="2"/>
      <c r="M5" s="2"/>
      <c r="N5" s="3"/>
      <c r="O5" s="1"/>
      <c r="P5" s="1"/>
      <c r="Q5" s="1"/>
    </row>
    <row r="6" spans="1:17" ht="26.25" x14ac:dyDescent="0.4">
      <c r="A6" s="1"/>
      <c r="B6" s="1"/>
      <c r="C6" s="1"/>
      <c r="D6" s="3" t="s">
        <v>0</v>
      </c>
      <c r="E6" s="3"/>
      <c r="F6" s="3"/>
      <c r="G6" s="3"/>
      <c r="H6" s="3"/>
      <c r="I6" s="1"/>
      <c r="Q6" s="1"/>
    </row>
    <row r="7" spans="1:17" ht="15.75" x14ac:dyDescent="0.25">
      <c r="A7" s="1"/>
      <c r="B7" s="1"/>
      <c r="C7" s="1"/>
      <c r="D7" s="4" t="s">
        <v>1</v>
      </c>
      <c r="E7" s="4"/>
      <c r="F7" s="4"/>
      <c r="G7" s="4"/>
      <c r="H7" s="1"/>
      <c r="I7" t="s">
        <v>2</v>
      </c>
      <c r="Q7" s="1"/>
    </row>
    <row r="8" spans="1:17" ht="23.25" x14ac:dyDescent="0.35">
      <c r="A8" s="1"/>
      <c r="B8" s="1"/>
      <c r="C8" s="1"/>
      <c r="D8" s="5" t="s">
        <v>3</v>
      </c>
      <c r="E8" s="5"/>
      <c r="F8" s="5"/>
      <c r="G8" s="5"/>
      <c r="H8" s="6"/>
      <c r="I8" s="1"/>
      <c r="Q8" s="1"/>
    </row>
    <row r="9" spans="1:17" ht="23.25" x14ac:dyDescent="0.35">
      <c r="A9" s="1"/>
      <c r="B9" s="1"/>
      <c r="C9" s="1"/>
      <c r="D9" s="7"/>
      <c r="E9" s="7"/>
      <c r="F9" s="7"/>
      <c r="G9" s="7"/>
      <c r="H9" s="1"/>
      <c r="I9" s="8"/>
      <c r="Q9" s="1"/>
    </row>
    <row r="10" spans="1:17" ht="23.25" x14ac:dyDescent="0.35">
      <c r="A10" s="9"/>
      <c r="B10" s="9"/>
      <c r="C10" s="9"/>
      <c r="D10" s="10"/>
      <c r="E10" s="10"/>
      <c r="F10" s="10"/>
      <c r="G10" s="10"/>
      <c r="H10" s="9"/>
      <c r="I10" s="11"/>
      <c r="J10" s="12"/>
      <c r="K10" s="12"/>
      <c r="L10" s="12"/>
      <c r="M10" s="12"/>
      <c r="N10" s="12"/>
      <c r="O10" s="12"/>
      <c r="P10" s="12"/>
      <c r="Q10" s="9"/>
    </row>
    <row r="11" spans="1:17" ht="24" x14ac:dyDescent="0.25">
      <c r="A11" s="13" t="s">
        <v>4</v>
      </c>
      <c r="B11" s="13" t="s">
        <v>5</v>
      </c>
      <c r="C11" s="13" t="s">
        <v>6</v>
      </c>
      <c r="D11" s="14" t="s">
        <v>7</v>
      </c>
      <c r="E11" s="14" t="s">
        <v>8</v>
      </c>
      <c r="F11" s="13" t="s">
        <v>9</v>
      </c>
      <c r="G11" s="14" t="s">
        <v>10</v>
      </c>
      <c r="H11" s="15" t="s">
        <v>11</v>
      </c>
      <c r="I11" s="15" t="s">
        <v>12</v>
      </c>
      <c r="J11" s="16" t="s">
        <v>13</v>
      </c>
      <c r="K11" s="13" t="s">
        <v>14</v>
      </c>
      <c r="L11" s="16" t="s">
        <v>15</v>
      </c>
      <c r="M11" s="16" t="s">
        <v>16</v>
      </c>
      <c r="N11" s="14" t="s">
        <v>17</v>
      </c>
      <c r="O11" s="13" t="s">
        <v>18</v>
      </c>
      <c r="P11" s="13" t="s">
        <v>19</v>
      </c>
      <c r="Q11" s="17" t="s">
        <v>20</v>
      </c>
    </row>
    <row r="12" spans="1:17" ht="24" x14ac:dyDescent="0.25">
      <c r="A12" s="18" t="s">
        <v>21</v>
      </c>
      <c r="B12" s="19" t="s">
        <v>22</v>
      </c>
      <c r="C12" s="19" t="s">
        <v>23</v>
      </c>
      <c r="D12" s="20" t="s">
        <v>24</v>
      </c>
      <c r="E12" s="19" t="s">
        <v>25</v>
      </c>
      <c r="F12" s="19" t="s">
        <v>26</v>
      </c>
      <c r="G12" s="18" t="s">
        <v>27</v>
      </c>
      <c r="H12" s="18" t="s">
        <v>28</v>
      </c>
      <c r="I12" s="21">
        <v>1580</v>
      </c>
      <c r="J12" s="22">
        <v>100</v>
      </c>
      <c r="K12" s="22">
        <v>50</v>
      </c>
      <c r="L12" s="22">
        <v>200</v>
      </c>
      <c r="M12" s="22">
        <v>200</v>
      </c>
      <c r="N12" s="19" t="s">
        <v>29</v>
      </c>
      <c r="O12" s="22">
        <v>900</v>
      </c>
      <c r="P12" s="22">
        <v>180</v>
      </c>
      <c r="Q12" s="21">
        <f>SUM(J12:P12)</f>
        <v>1630</v>
      </c>
    </row>
    <row r="13" spans="1:17" ht="24" x14ac:dyDescent="0.25">
      <c r="A13" s="18" t="s">
        <v>21</v>
      </c>
      <c r="B13" s="19" t="s">
        <v>30</v>
      </c>
      <c r="C13" s="19" t="s">
        <v>31</v>
      </c>
      <c r="D13" s="20" t="s">
        <v>24</v>
      </c>
      <c r="E13" s="19" t="s">
        <v>25</v>
      </c>
      <c r="F13" s="19" t="s">
        <v>32</v>
      </c>
      <c r="G13" s="18" t="s">
        <v>33</v>
      </c>
      <c r="H13" s="18" t="s">
        <v>34</v>
      </c>
      <c r="I13" s="23">
        <v>114</v>
      </c>
      <c r="J13" s="22">
        <v>100</v>
      </c>
      <c r="K13" s="22">
        <v>50</v>
      </c>
      <c r="L13" s="22">
        <v>200</v>
      </c>
      <c r="M13" s="22">
        <v>200</v>
      </c>
      <c r="N13" s="19" t="s">
        <v>29</v>
      </c>
      <c r="O13" s="22">
        <v>900</v>
      </c>
      <c r="P13" s="22">
        <v>180</v>
      </c>
      <c r="Q13" s="21">
        <f>SUM(J13:P13)</f>
        <v>1630</v>
      </c>
    </row>
    <row r="14" spans="1:17" ht="48" x14ac:dyDescent="0.25">
      <c r="A14" s="18" t="s">
        <v>21</v>
      </c>
      <c r="B14" s="19" t="s">
        <v>35</v>
      </c>
      <c r="C14" s="19" t="s">
        <v>36</v>
      </c>
      <c r="D14" s="20" t="s">
        <v>24</v>
      </c>
      <c r="E14" s="19" t="s">
        <v>25</v>
      </c>
      <c r="F14" s="19" t="s">
        <v>37</v>
      </c>
      <c r="G14" s="18" t="s">
        <v>27</v>
      </c>
      <c r="H14" s="18" t="s">
        <v>28</v>
      </c>
      <c r="I14" s="21">
        <v>1579</v>
      </c>
      <c r="J14" s="22">
        <v>100</v>
      </c>
      <c r="K14" s="22">
        <v>50</v>
      </c>
      <c r="L14" s="22">
        <v>200</v>
      </c>
      <c r="M14" s="22">
        <v>200</v>
      </c>
      <c r="N14" s="19" t="s">
        <v>29</v>
      </c>
      <c r="O14" s="22">
        <v>900</v>
      </c>
      <c r="P14" s="22">
        <v>180</v>
      </c>
      <c r="Q14" s="21">
        <f>SUM(J14:P14)</f>
        <v>1630</v>
      </c>
    </row>
    <row r="15" spans="1:17" ht="24" x14ac:dyDescent="0.25">
      <c r="A15" s="18" t="s">
        <v>21</v>
      </c>
      <c r="B15" s="19" t="s">
        <v>38</v>
      </c>
      <c r="C15" s="19" t="s">
        <v>39</v>
      </c>
      <c r="D15" s="20" t="s">
        <v>24</v>
      </c>
      <c r="E15" s="19" t="s">
        <v>25</v>
      </c>
      <c r="F15" s="19" t="s">
        <v>40</v>
      </c>
      <c r="G15" s="18" t="s">
        <v>41</v>
      </c>
      <c r="H15" s="18" t="s">
        <v>42</v>
      </c>
      <c r="I15" s="21">
        <v>2819</v>
      </c>
      <c r="J15" s="22">
        <v>100</v>
      </c>
      <c r="K15" s="22">
        <v>50</v>
      </c>
      <c r="L15" s="22">
        <v>200</v>
      </c>
      <c r="M15" s="22">
        <v>200</v>
      </c>
      <c r="N15" s="19" t="s">
        <v>29</v>
      </c>
      <c r="O15" s="22">
        <v>900</v>
      </c>
      <c r="P15" s="22">
        <v>180</v>
      </c>
      <c r="Q15" s="21">
        <f>SUM(J15:P15)</f>
        <v>1630</v>
      </c>
    </row>
    <row r="16" spans="1:17" ht="24" x14ac:dyDescent="0.25">
      <c r="A16" s="18" t="s">
        <v>21</v>
      </c>
      <c r="B16" s="19" t="s">
        <v>43</v>
      </c>
      <c r="C16" s="19" t="s">
        <v>44</v>
      </c>
      <c r="D16" s="20" t="s">
        <v>24</v>
      </c>
      <c r="E16" s="19" t="s">
        <v>25</v>
      </c>
      <c r="F16" s="19" t="s">
        <v>45</v>
      </c>
      <c r="G16" s="18" t="s">
        <v>41</v>
      </c>
      <c r="H16" s="18" t="s">
        <v>42</v>
      </c>
      <c r="I16" s="21">
        <v>2629</v>
      </c>
      <c r="J16" s="22">
        <v>100</v>
      </c>
      <c r="K16" s="22">
        <v>50</v>
      </c>
      <c r="L16" s="22">
        <v>200</v>
      </c>
      <c r="M16" s="22">
        <v>200</v>
      </c>
      <c r="N16" s="19" t="s">
        <v>29</v>
      </c>
      <c r="O16" s="22">
        <v>900</v>
      </c>
      <c r="P16" s="22">
        <v>180</v>
      </c>
      <c r="Q16" s="21">
        <f>SUM(J16:P16)</f>
        <v>1630</v>
      </c>
    </row>
    <row r="17" spans="1:17" ht="24" x14ac:dyDescent="0.25">
      <c r="A17" s="18" t="s">
        <v>21</v>
      </c>
      <c r="B17" s="19" t="s">
        <v>46</v>
      </c>
      <c r="C17" s="19" t="s">
        <v>47</v>
      </c>
      <c r="D17" s="20" t="s">
        <v>24</v>
      </c>
      <c r="E17" s="19" t="s">
        <v>25</v>
      </c>
      <c r="F17" s="19" t="s">
        <v>48</v>
      </c>
      <c r="G17" s="18" t="s">
        <v>49</v>
      </c>
      <c r="H17" s="18" t="s">
        <v>50</v>
      </c>
      <c r="I17" s="21">
        <v>623</v>
      </c>
      <c r="J17" s="22">
        <v>100</v>
      </c>
      <c r="K17" s="22">
        <v>50</v>
      </c>
      <c r="L17" s="21"/>
      <c r="M17" s="22">
        <v>200</v>
      </c>
      <c r="N17" s="19" t="s">
        <v>29</v>
      </c>
      <c r="O17" s="22">
        <v>900</v>
      </c>
      <c r="P17" s="22">
        <v>180</v>
      </c>
      <c r="Q17" s="21">
        <f>SUM(J17:P17)</f>
        <v>1430</v>
      </c>
    </row>
    <row r="18" spans="1:17" ht="24" x14ac:dyDescent="0.25">
      <c r="A18" s="18" t="s">
        <v>21</v>
      </c>
      <c r="B18" s="19" t="s">
        <v>51</v>
      </c>
      <c r="C18" s="19" t="s">
        <v>52</v>
      </c>
      <c r="D18" s="20" t="s">
        <v>24</v>
      </c>
      <c r="E18" s="19" t="s">
        <v>25</v>
      </c>
      <c r="F18" s="19" t="s">
        <v>53</v>
      </c>
      <c r="G18" s="18" t="s">
        <v>27</v>
      </c>
      <c r="H18" s="18" t="s">
        <v>28</v>
      </c>
      <c r="I18" s="21">
        <v>1578</v>
      </c>
      <c r="J18" s="22">
        <v>100</v>
      </c>
      <c r="K18" s="22">
        <v>50</v>
      </c>
      <c r="L18" s="22">
        <v>400</v>
      </c>
      <c r="M18" s="22">
        <v>200</v>
      </c>
      <c r="N18" s="19" t="s">
        <v>29</v>
      </c>
      <c r="O18" s="22">
        <v>900</v>
      </c>
      <c r="P18" s="22">
        <v>180</v>
      </c>
      <c r="Q18" s="21">
        <f>SUM(J18:P18)</f>
        <v>1830</v>
      </c>
    </row>
    <row r="19" spans="1:17" x14ac:dyDescent="0.25">
      <c r="A19" s="1"/>
      <c r="B19" s="1"/>
      <c r="C19" s="1"/>
      <c r="D19" s="1"/>
      <c r="E19" s="1"/>
      <c r="G19" s="1"/>
      <c r="H19" s="1"/>
      <c r="I19" s="1"/>
      <c r="J19" s="24">
        <f>SUM(J12:J18)</f>
        <v>700</v>
      </c>
      <c r="K19" s="24">
        <f>SUM(K12:K18)</f>
        <v>350</v>
      </c>
      <c r="L19" s="24">
        <f>SUM(L12:L18)</f>
        <v>1400</v>
      </c>
      <c r="M19" s="24">
        <f>SUM(M12:M18)</f>
        <v>1400</v>
      </c>
      <c r="N19" s="24"/>
      <c r="O19" s="24">
        <f>SUM(O12:O18)</f>
        <v>6300</v>
      </c>
      <c r="P19" s="24">
        <f>SUM(P12:P18)</f>
        <v>1260</v>
      </c>
      <c r="Q19" s="24">
        <f>SUM(J19:P19)</f>
        <v>11410</v>
      </c>
    </row>
    <row r="20" spans="1:17" x14ac:dyDescent="0.25">
      <c r="A20" s="1"/>
      <c r="B20" s="1"/>
      <c r="C20" s="1"/>
      <c r="D20" s="1"/>
      <c r="E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8.75" x14ac:dyDescent="0.3">
      <c r="A23" s="1"/>
      <c r="B23" s="1"/>
      <c r="C23" s="25"/>
      <c r="D23" s="25"/>
      <c r="F23" s="26" t="s">
        <v>13</v>
      </c>
      <c r="G23" s="27">
        <v>700</v>
      </c>
      <c r="H23" s="28"/>
      <c r="I23" s="28"/>
      <c r="J23" s="28"/>
      <c r="K23" s="1"/>
      <c r="L23" s="1"/>
      <c r="M23" s="1"/>
      <c r="N23" s="1"/>
      <c r="O23" s="1"/>
      <c r="P23" s="1"/>
      <c r="Q23" s="1"/>
    </row>
    <row r="24" spans="1:17" ht="18.75" x14ac:dyDescent="0.3">
      <c r="A24" s="1"/>
      <c r="B24" s="1"/>
      <c r="C24" s="25"/>
      <c r="D24" s="25"/>
      <c r="F24" s="26" t="s">
        <v>54</v>
      </c>
      <c r="G24" s="27">
        <v>3150</v>
      </c>
      <c r="H24" s="28"/>
      <c r="I24" s="28"/>
      <c r="J24" s="28"/>
      <c r="K24" s="1"/>
      <c r="L24" s="1"/>
      <c r="M24" s="1"/>
      <c r="N24" s="1"/>
      <c r="O24" s="1"/>
      <c r="P24" s="1"/>
      <c r="Q24" s="1"/>
    </row>
    <row r="25" spans="1:17" ht="18.75" x14ac:dyDescent="0.3">
      <c r="A25" s="1"/>
      <c r="B25" s="1"/>
      <c r="C25" s="25"/>
      <c r="D25" s="25"/>
      <c r="F25" s="26" t="s">
        <v>18</v>
      </c>
      <c r="G25" s="27">
        <v>6300</v>
      </c>
      <c r="H25" s="28"/>
      <c r="I25" s="28"/>
      <c r="J25" s="28"/>
      <c r="K25" s="1"/>
      <c r="L25" s="1"/>
      <c r="M25" s="1"/>
      <c r="N25" s="1"/>
      <c r="O25" s="1"/>
      <c r="P25" s="1"/>
      <c r="Q25" s="1"/>
    </row>
    <row r="26" spans="1:17" ht="18.75" x14ac:dyDescent="0.3">
      <c r="A26" s="1"/>
      <c r="B26" s="1"/>
      <c r="C26" s="25"/>
      <c r="D26" s="25"/>
      <c r="F26" s="26" t="s">
        <v>19</v>
      </c>
      <c r="G26" s="27">
        <v>1260</v>
      </c>
      <c r="H26" s="28"/>
      <c r="I26" s="28"/>
      <c r="J26" s="28"/>
      <c r="K26" s="1"/>
      <c r="L26" s="1"/>
      <c r="M26" s="1"/>
      <c r="N26" s="1"/>
      <c r="O26" s="1"/>
      <c r="P26" s="1"/>
      <c r="Q26" s="1"/>
    </row>
    <row r="27" spans="1:17" ht="18.75" x14ac:dyDescent="0.3">
      <c r="A27" s="1"/>
      <c r="B27" s="1"/>
      <c r="C27" s="25"/>
      <c r="D27" s="25"/>
      <c r="F27" s="26" t="s">
        <v>20</v>
      </c>
      <c r="G27" s="27">
        <v>11410</v>
      </c>
      <c r="H27" s="28"/>
      <c r="I27" s="28"/>
      <c r="J27" s="28"/>
      <c r="K27" s="1"/>
      <c r="L27" s="1"/>
      <c r="M27" s="1"/>
      <c r="N27" s="1"/>
      <c r="O27" s="1"/>
      <c r="P27" s="1"/>
      <c r="Q27" s="1"/>
    </row>
    <row r="28" spans="1:17" ht="18.75" x14ac:dyDescent="0.3">
      <c r="A28" s="1"/>
      <c r="B28" s="1"/>
      <c r="C28" s="25" t="s">
        <v>55</v>
      </c>
      <c r="D28" s="25"/>
      <c r="E28" s="25"/>
      <c r="F28" s="29"/>
      <c r="G28" s="29"/>
      <c r="H28" s="29"/>
      <c r="I28" s="29"/>
      <c r="J28" s="29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30"/>
      <c r="G30" s="30"/>
      <c r="H30" s="30"/>
      <c r="I30" s="30"/>
      <c r="J30" s="31" t="s">
        <v>56</v>
      </c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30"/>
      <c r="G31" s="30"/>
      <c r="H31" s="30"/>
      <c r="I31" s="30"/>
      <c r="J31" s="32" t="s">
        <v>57</v>
      </c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30"/>
      <c r="G32" s="30"/>
      <c r="H32" s="30"/>
      <c r="I32" s="30"/>
      <c r="J32" s="32" t="s">
        <v>58</v>
      </c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30"/>
      <c r="G33" s="30"/>
      <c r="H33" s="30"/>
      <c r="I33" s="30"/>
      <c r="J33" s="31" t="s">
        <v>59</v>
      </c>
      <c r="K33" s="1"/>
      <c r="L33" s="1"/>
      <c r="M33" s="1"/>
      <c r="N33" s="1"/>
      <c r="O33" s="1"/>
      <c r="P33" s="1"/>
      <c r="Q3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laraqui45</dc:creator>
  <cp:lastModifiedBy>laraqui45</cp:lastModifiedBy>
  <dcterms:created xsi:type="dcterms:W3CDTF">2026-06-04T17:18:04Z</dcterms:created>
  <dcterms:modified xsi:type="dcterms:W3CDTF">2026-06-04T17:18:20Z</dcterms:modified>
</cp:coreProperties>
</file>